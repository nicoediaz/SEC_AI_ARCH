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ediaz/TUHH/TUHH/papers/secure_ai_arch/replication/PRE-STUDY/"/>
    </mc:Choice>
  </mc:AlternateContent>
  <xr:revisionPtr revIDLastSave="0" documentId="13_ncr:1_{EFC60732-D32A-AB40-B0B9-905C48BE1C13}" xr6:coauthVersionLast="47" xr6:coauthVersionMax="47" xr10:uidLastSave="{00000000-0000-0000-0000-000000000000}"/>
  <bookViews>
    <workbookView xWindow="160" yWindow="660" windowWidth="28480" windowHeight="17180" tabRatio="212" xr2:uid="{00000000-000D-0000-FFFF-FFFF00000000}"/>
  </bookViews>
  <sheets>
    <sheet name="GUIDELINES" sheetId="4" r:id="rId1"/>
    <sheet name="RESPONSES" sheetId="2" r:id="rId2"/>
    <sheet name="VIGNE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4" i="2" l="1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G13" i="2"/>
  <c r="AO13" i="2" s="1"/>
  <c r="G12" i="2"/>
  <c r="AO12" i="2" s="1"/>
  <c r="G11" i="2"/>
  <c r="AN11" i="2" s="1"/>
  <c r="G10" i="2"/>
  <c r="AN10" i="2" s="1"/>
  <c r="G9" i="2"/>
  <c r="AA9" i="2" s="1"/>
  <c r="G8" i="2"/>
  <c r="AM8" i="2" s="1"/>
  <c r="G7" i="2"/>
  <c r="Z7" i="2" s="1"/>
  <c r="G6" i="2"/>
  <c r="AL6" i="2" s="1"/>
  <c r="G5" i="2"/>
  <c r="AO5" i="2" s="1"/>
  <c r="G4" i="2"/>
  <c r="AO4" i="2" s="1"/>
  <c r="G3" i="2"/>
  <c r="AF3" i="2" s="1"/>
  <c r="Z3" i="2" l="1"/>
  <c r="Z6" i="2"/>
  <c r="AA8" i="2"/>
  <c r="AM3" i="2"/>
  <c r="AE3" i="2"/>
  <c r="AB9" i="2"/>
  <c r="AC11" i="2"/>
  <c r="AD13" i="2"/>
  <c r="AD5" i="2"/>
  <c r="AE7" i="2"/>
  <c r="AF9" i="2"/>
  <c r="AG11" i="2"/>
  <c r="AH13" i="2"/>
  <c r="AH5" i="2"/>
  <c r="AI7" i="2"/>
  <c r="AJ9" i="2"/>
  <c r="AK11" i="2"/>
  <c r="AL13" i="2"/>
  <c r="AL5" i="2"/>
  <c r="AM7" i="2"/>
  <c r="AN9" i="2"/>
  <c r="AO11" i="2"/>
  <c r="Z13" i="2"/>
  <c r="Z5" i="2"/>
  <c r="AA7" i="2"/>
  <c r="AL3" i="2"/>
  <c r="AD3" i="2"/>
  <c r="AB8" i="2"/>
  <c r="AC10" i="2"/>
  <c r="AD12" i="2"/>
  <c r="AD4" i="2"/>
  <c r="AE6" i="2"/>
  <c r="AF8" i="2"/>
  <c r="AG10" i="2"/>
  <c r="AH12" i="2"/>
  <c r="AH4" i="2"/>
  <c r="AI6" i="2"/>
  <c r="AJ8" i="2"/>
  <c r="AK10" i="2"/>
  <c r="AL12" i="2"/>
  <c r="AL4" i="2"/>
  <c r="AM6" i="2"/>
  <c r="AN8" i="2"/>
  <c r="AO10" i="2"/>
  <c r="Z12" i="2"/>
  <c r="Z4" i="2"/>
  <c r="AA6" i="2"/>
  <c r="AK3" i="2"/>
  <c r="AC3" i="2"/>
  <c r="AB7" i="2"/>
  <c r="AC9" i="2"/>
  <c r="AD11" i="2"/>
  <c r="AE13" i="2"/>
  <c r="AE5" i="2"/>
  <c r="AF7" i="2"/>
  <c r="AG9" i="2"/>
  <c r="AH11" i="2"/>
  <c r="AI13" i="2"/>
  <c r="AI5" i="2"/>
  <c r="AJ7" i="2"/>
  <c r="AK9" i="2"/>
  <c r="AL11" i="2"/>
  <c r="AM13" i="2"/>
  <c r="AM5" i="2"/>
  <c r="AN7" i="2"/>
  <c r="AO9" i="2"/>
  <c r="Z11" i="2"/>
  <c r="AA13" i="2"/>
  <c r="AA5" i="2"/>
  <c r="AJ3" i="2"/>
  <c r="AB3" i="2"/>
  <c r="AB6" i="2"/>
  <c r="AC8" i="2"/>
  <c r="AD10" i="2"/>
  <c r="AE12" i="2"/>
  <c r="AE4" i="2"/>
  <c r="AF6" i="2"/>
  <c r="AG8" i="2"/>
  <c r="AH10" i="2"/>
  <c r="AI12" i="2"/>
  <c r="AI4" i="2"/>
  <c r="AJ6" i="2"/>
  <c r="AK8" i="2"/>
  <c r="AL10" i="2"/>
  <c r="AM12" i="2"/>
  <c r="AM4" i="2"/>
  <c r="AN6" i="2"/>
  <c r="AO8" i="2"/>
  <c r="Z10" i="2"/>
  <c r="AA12" i="2"/>
  <c r="AA4" i="2"/>
  <c r="AI3" i="2"/>
  <c r="AB13" i="2"/>
  <c r="AB5" i="2"/>
  <c r="AC7" i="2"/>
  <c r="AD9" i="2"/>
  <c r="AE11" i="2"/>
  <c r="AF13" i="2"/>
  <c r="AF5" i="2"/>
  <c r="AG7" i="2"/>
  <c r="AH9" i="2"/>
  <c r="AI11" i="2"/>
  <c r="AJ13" i="2"/>
  <c r="AJ5" i="2"/>
  <c r="AK7" i="2"/>
  <c r="AL9" i="2"/>
  <c r="AM11" i="2"/>
  <c r="AN13" i="2"/>
  <c r="AN5" i="2"/>
  <c r="AO7" i="2"/>
  <c r="Z9" i="2"/>
  <c r="AA11" i="2"/>
  <c r="AA3" i="2"/>
  <c r="AH3" i="2"/>
  <c r="AB12" i="2"/>
  <c r="AB4" i="2"/>
  <c r="AC6" i="2"/>
  <c r="AD8" i="2"/>
  <c r="AE10" i="2"/>
  <c r="AF12" i="2"/>
  <c r="AF4" i="2"/>
  <c r="AG6" i="2"/>
  <c r="AH8" i="2"/>
  <c r="AI10" i="2"/>
  <c r="AJ12" i="2"/>
  <c r="AJ4" i="2"/>
  <c r="AK6" i="2"/>
  <c r="AL8" i="2"/>
  <c r="AM10" i="2"/>
  <c r="AN12" i="2"/>
  <c r="AN4" i="2"/>
  <c r="AO6" i="2"/>
  <c r="Z8" i="2"/>
  <c r="AA10" i="2"/>
  <c r="AO3" i="2"/>
  <c r="AG3" i="2"/>
  <c r="AB11" i="2"/>
  <c r="AC13" i="2"/>
  <c r="AC5" i="2"/>
  <c r="AD7" i="2"/>
  <c r="AE9" i="2"/>
  <c r="AF11" i="2"/>
  <c r="AG13" i="2"/>
  <c r="AG5" i="2"/>
  <c r="AH7" i="2"/>
  <c r="AI9" i="2"/>
  <c r="AJ11" i="2"/>
  <c r="AK13" i="2"/>
  <c r="AK5" i="2"/>
  <c r="AL7" i="2"/>
  <c r="AM9" i="2"/>
  <c r="AN3" i="2"/>
  <c r="AB10" i="2"/>
  <c r="AC12" i="2"/>
  <c r="AC4" i="2"/>
  <c r="AD6" i="2"/>
  <c r="AE8" i="2"/>
  <c r="AF10" i="2"/>
  <c r="AG12" i="2"/>
  <c r="AG4" i="2"/>
  <c r="AH6" i="2"/>
  <c r="AI8" i="2"/>
  <c r="AJ10" i="2"/>
  <c r="AK12" i="2"/>
  <c r="AK4" i="2"/>
  <c r="AO14" i="2" l="1"/>
  <c r="AF14" i="2"/>
  <c r="AB14" i="2"/>
  <c r="AJ14" i="2"/>
  <c r="AD14" i="2"/>
  <c r="AL14" i="2"/>
  <c r="AE14" i="2"/>
  <c r="AH14" i="2"/>
  <c r="AA14" i="2"/>
  <c r="Z14" i="2"/>
  <c r="AI14" i="2"/>
  <c r="AM14" i="2"/>
  <c r="AC14" i="2"/>
  <c r="AN14" i="2"/>
  <c r="AG14" i="2"/>
  <c r="AK14" i="2"/>
</calcChain>
</file>

<file path=xl/sharedStrings.xml><?xml version="1.0" encoding="utf-8"?>
<sst xmlns="http://schemas.openxmlformats.org/spreadsheetml/2006/main" count="126" uniqueCount="76">
  <si>
    <t>Response ID</t>
  </si>
  <si>
    <t>Seed</t>
  </si>
  <si>
    <t>Please provide the following information about yourself [Role]</t>
  </si>
  <si>
    <t>How many years of experience do you have working in Open Source Software?</t>
  </si>
  <si>
    <t>How many years of experience do you have working in Commercial (closed) Source Software?</t>
  </si>
  <si>
    <t>Product Security Engineer</t>
  </si>
  <si>
    <t>&gt; 5 years</t>
  </si>
  <si>
    <t>Assistant Professor</t>
  </si>
  <si>
    <t>1 to 2 years</t>
  </si>
  <si>
    <t>&lt; 1 year</t>
  </si>
  <si>
    <t>Postdoctoral Researcher</t>
  </si>
  <si>
    <t>3 to 4 years</t>
  </si>
  <si>
    <t>Security researcher</t>
  </si>
  <si>
    <t>Postdoc</t>
  </si>
  <si>
    <t>4 to 5 years</t>
  </si>
  <si>
    <t>PhD Student</t>
  </si>
  <si>
    <t>2 to 3 years</t>
  </si>
  <si>
    <t>Professor</t>
  </si>
  <si>
    <t>PhD student</t>
  </si>
  <si>
    <t>Phd Student</t>
  </si>
  <si>
    <t>Researcher</t>
  </si>
  <si>
    <t>R1</t>
  </si>
  <si>
    <r>
      <t>AI-mode switcher:</t>
    </r>
    <r>
      <rPr>
        <sz val="12"/>
        <color rgb="FF000000"/>
        <rFont val="Calibri"/>
        <family val="2"/>
        <scheme val="minor"/>
      </rPr>
      <t> An AI mode switcher can be used to let the human user control whether AI components’ outcomes are followed automatically or taken as suggestions and reviewed by the user.</t>
    </r>
  </si>
  <si>
    <t>R2</t>
  </si>
  <si>
    <r>
      <t>Multi-model decision maker:</t>
    </r>
    <r>
      <rPr>
        <sz val="12"/>
        <color rgb="FF000000"/>
        <rFont val="Calibri"/>
        <family val="2"/>
        <scheme val="minor"/>
      </rPr>
      <t> Employing a multi-model decision maker consisting of more than one different AI component can increase the system’s reliability and fault-tolerance.</t>
    </r>
  </si>
  <si>
    <t>R3</t>
  </si>
  <si>
    <r>
      <t>Multiple redundant AI components:</t>
    </r>
    <r>
      <rPr>
        <sz val="12"/>
        <color rgb="FF000000"/>
        <rFont val="Calibri"/>
        <family val="2"/>
        <scheme val="minor"/>
      </rPr>
      <t> Deploying multiple identical AI components in parallel can ensure tolerance towards a malicious or otherwise malfunctioning AI component.</t>
    </r>
  </si>
  <si>
    <t>R4</t>
  </si>
  <si>
    <r>
      <t>Ethical black box:</t>
    </r>
    <r>
      <rPr>
        <sz val="12"/>
        <color rgb="FF000000"/>
        <rFont val="Calibri"/>
        <family val="2"/>
        <scheme val="minor"/>
      </rPr>
      <t> AI components’ outcomes and related system information should be recorded in a black box. If rewards are used as incentive for ethical behavior, they should be recorded as well.</t>
    </r>
  </si>
  <si>
    <t>R5</t>
  </si>
  <si>
    <r>
      <t>Continuous monitoring:</t>
    </r>
    <r>
      <rPr>
        <sz val="12"/>
        <color rgb="FF000000"/>
        <rFont val="Calibri"/>
        <family val="2"/>
        <scheme val="minor"/>
      </rPr>
      <t> AI components’ outcomes should continuously be checked against ethical requirements.</t>
    </r>
  </si>
  <si>
    <t>R6</t>
  </si>
  <si>
    <r>
      <t>Monitoring AI components’ discrepancies:</t>
    </r>
    <r>
      <rPr>
        <sz val="12"/>
        <color rgb="FF000000"/>
        <rFont val="Calibri"/>
        <family val="2"/>
        <scheme val="minor"/>
      </rPr>
      <t> If multiple redundant AI components are deployed, their outcomes should be monitored to identify discrepancies.</t>
    </r>
  </si>
  <si>
    <t>R7</t>
  </si>
  <si>
    <r>
      <t>Reusable components:</t>
    </r>
    <r>
      <rPr>
        <sz val="12"/>
        <color rgb="FF000000"/>
        <rFont val="Calibri"/>
        <family val="2"/>
        <scheme val="minor"/>
      </rPr>
      <t> Components should be implemented as reusable units with clearly defined boundaries and explicit interfaces. Complex dependencies and entanglement should be avoided.</t>
    </r>
  </si>
  <si>
    <t>R8</t>
  </si>
  <si>
    <r>
      <t>Incompatible data types:</t>
    </r>
    <r>
      <rPr>
        <sz val="12"/>
        <color rgb="FF000000"/>
        <rFont val="Calibri"/>
        <family val="2"/>
        <scheme val="minor"/>
      </rPr>
      <t> Incompatible data types between AI components and connected components should be avoided.</t>
    </r>
  </si>
  <si>
    <t>R9</t>
  </si>
  <si>
    <r>
      <t>Multiple programming languages:</t>
    </r>
    <r>
      <rPr>
        <sz val="12"/>
        <color rgb="FF000000"/>
        <rFont val="Calibri"/>
        <family val="2"/>
        <scheme val="minor"/>
      </rPr>
      <t> The use of multiple programming languages in the same system should be avoided where possible.</t>
    </r>
  </si>
  <si>
    <t>R10</t>
  </si>
  <si>
    <r>
      <t>Undeclared consumers:</t>
    </r>
    <r>
      <rPr>
        <sz val="12"/>
        <color rgb="FF000000"/>
        <rFont val="Calibri"/>
        <family val="2"/>
        <scheme val="minor"/>
      </rPr>
      <t> Undeclared consumers of AI components should be avoided and access control for the outcomes of the AI components should be enforced.</t>
    </r>
  </si>
  <si>
    <t>R11</t>
  </si>
  <si>
    <r>
      <t>Performance monitoring:</t>
    </r>
    <r>
      <rPr>
        <sz val="12"/>
        <color rgb="FF000000"/>
        <rFont val="Calibri"/>
        <family val="2"/>
        <scheme val="minor"/>
      </rPr>
      <t> There should be a component that monitors the performance of the AI components concerning their prediction accuracy.</t>
    </r>
  </si>
  <si>
    <t>R12</t>
  </si>
  <si>
    <r>
      <t>Sufficient resources:</t>
    </r>
    <r>
      <rPr>
        <sz val="12"/>
        <color rgb="FF000000"/>
        <rFont val="Calibri"/>
        <family val="2"/>
        <scheme val="minor"/>
      </rPr>
      <t> Sufficient computing and memory resources have to be available for the AI components.</t>
    </r>
  </si>
  <si>
    <t>R13</t>
  </si>
  <si>
    <r>
      <t>Data storage:</t>
    </r>
    <r>
      <rPr>
        <sz val="12"/>
        <color rgb="FF000000"/>
        <rFont val="Calibri"/>
        <family val="2"/>
        <scheme val="minor"/>
      </rPr>
      <t> When data is collected for re-training, it has to be stored securely and according to applicable regulations such as the GDPR. This includes the use of encryption techniques, a firewall between data storage and network, and enforcement of access control.</t>
    </r>
  </si>
  <si>
    <t>R14</t>
  </si>
  <si>
    <r>
      <t>Adapting traditional design methods:</t>
    </r>
    <r>
      <rPr>
        <sz val="12"/>
        <color rgb="FF000000"/>
        <rFont val="Calibri"/>
        <family val="2"/>
        <scheme val="minor"/>
      </rPr>
      <t> Architectural design methods used for traditional systems (e.g., UML diagrams) can be adapted and used for AI-based systems as well and can model ethical requirements.</t>
    </r>
  </si>
  <si>
    <t>R15</t>
  </si>
  <si>
    <r>
      <t>Access via APIs:</t>
    </r>
    <r>
      <rPr>
        <sz val="12"/>
        <color rgb="FF000000"/>
        <rFont val="Calibri"/>
        <family val="2"/>
        <scheme val="minor"/>
      </rPr>
      <t> AI-based systems can be made available via APIs instead of allowing users to run them locally to keep control over their use.</t>
    </r>
  </si>
  <si>
    <t>R16</t>
  </si>
  <si>
    <r>
      <t>Bill of materials registry:</t>
    </r>
    <r>
      <rPr>
        <sz val="12"/>
        <color rgb="FF000000"/>
        <rFont val="Calibri"/>
        <family val="2"/>
        <scheme val="minor"/>
      </rPr>
      <t> A bill of materials registry should be integrated that keeps a machine-readable record of all used components and their properties.</t>
    </r>
  </si>
  <si>
    <t>EXP.</t>
  </si>
  <si>
    <t>WEXP.</t>
  </si>
  <si>
    <t>ORIGINAL</t>
  </si>
  <si>
    <t>VIGNETE</t>
  </si>
  <si>
    <t>Implement AI mode switchers that allow users (humans) to activate/deactivate AI components or override their decisions when needed.</t>
  </si>
  <si>
    <r>
      <rPr>
        <b/>
        <sz val="10"/>
        <rFont val="Arial"/>
        <family val="2"/>
      </rPr>
      <t>AI-mode switcher</t>
    </r>
    <r>
      <rPr>
        <sz val="10"/>
        <rFont val="Arial"/>
        <family val="2"/>
        <charset val="1"/>
      </rPr>
      <t>: An AI mode switcher can be used to let the human user control whether AI components’ outcomes are followed automatically or taken as suggestions and reviewed by the user.</t>
    </r>
  </si>
  <si>
    <r>
      <rPr>
        <b/>
        <sz val="10"/>
        <rFont val="Arial"/>
        <family val="2"/>
      </rPr>
      <t>Multi-model decision maker</t>
    </r>
    <r>
      <rPr>
        <sz val="10"/>
        <rFont val="Arial"/>
        <family val="2"/>
        <charset val="1"/>
      </rPr>
      <t>: Employing a multi-model decision maker consisting of more than one different AI component can increase the system’s reliability and fault-tolerance.</t>
    </r>
  </si>
  <si>
    <t>Implement decision-making modules through multiple/different AI components to increase the system's reliability and fault-tolerance.</t>
  </si>
  <si>
    <r>
      <rPr>
        <b/>
        <sz val="10"/>
        <rFont val="Arial"/>
        <family val="2"/>
      </rPr>
      <t>Continuous monitoring</t>
    </r>
    <r>
      <rPr>
        <sz val="10"/>
        <rFont val="Arial"/>
        <family val="2"/>
        <charset val="1"/>
      </rPr>
      <t>: AI components’ outcomes should continuously be checked against ethical requirements.</t>
    </r>
  </si>
  <si>
    <t>Continuously check for discrepancies across redundant AI components</t>
  </si>
  <si>
    <r>
      <rPr>
        <b/>
        <sz val="10"/>
        <rFont val="Arial"/>
        <family val="2"/>
      </rPr>
      <t>Monitoring AI components’ discrepancies</t>
    </r>
    <r>
      <rPr>
        <sz val="10"/>
        <rFont val="Arial"/>
        <family val="2"/>
        <charset val="1"/>
      </rPr>
      <t>: If multiple redundant AI components are deployed, their outcomes should be monitored to identify discrepancies.</t>
    </r>
  </si>
  <si>
    <r>
      <rPr>
        <b/>
        <sz val="10"/>
        <rFont val="Arial"/>
        <family val="2"/>
      </rPr>
      <t>Bill of materials registry</t>
    </r>
    <r>
      <rPr>
        <sz val="10"/>
        <rFont val="Arial"/>
        <family val="2"/>
        <charset val="1"/>
      </rPr>
      <t>: A bill of materials registry should be integrated that keeps a machine-readable record of all used components and their properties.</t>
    </r>
  </si>
  <si>
    <t>Create a Bill of Materials (BoM) registry to keep a machine-readable record of all used components and their properties</t>
  </si>
  <si>
    <t>Continuously check the outcomes of AI components against ethical requirements (e.g., fairness).</t>
  </si>
  <si>
    <t>NORMAL AVG</t>
  </si>
  <si>
    <t>WEIGHTED AVG</t>
  </si>
  <si>
    <t>GUIDELINE</t>
  </si>
  <si>
    <t>G1</t>
  </si>
  <si>
    <t>G2</t>
  </si>
  <si>
    <t>G5</t>
  </si>
  <si>
    <t>G6</t>
  </si>
  <si>
    <t>G16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</si>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</sst>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  <charset val="1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top" wrapText="1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/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E845-8F0F-0B47-BCD0-834B2757F62C}">
  <dimension ref="C1:F17"/>
  <sheetViews>
    <sheetView tabSelected="1" topLeftCell="E1" zoomScale="120" zoomScaleNormal="120" workbookViewId="0">
      <selection activeCell="M3" sqref="M3"/>
    </sheetView>
  </sheetViews>
  <sheetFormatPr baseColWidth="10" defaultRowHeight="13" x14ac:dyDescent="0.15"/>
  <cols>
    <col min="3" max="3" width="27.6640625" style="19" customWidth="1"/>
    <col min="4" max="4" width="33.5" style="19" customWidth="1"/>
    <col min="5" max="5" width="6.6640625" bestFit="1" customWidth="1"/>
    <col min="6" max="6" width="78.1640625" customWidth="1"/>
    <col min="7" max="7" width="5.1640625" customWidth="1"/>
    <col min="8" max="15" width="3.33203125" bestFit="1" customWidth="1"/>
    <col min="16" max="22" width="4.33203125" bestFit="1" customWidth="1"/>
    <col min="24" max="25" width="4.1640625" bestFit="1" customWidth="1"/>
    <col min="26" max="32" width="3.33203125" bestFit="1" customWidth="1"/>
    <col min="33" max="39" width="4.33203125" bestFit="1" customWidth="1"/>
  </cols>
  <sheetData>
    <row r="1" spans="5:6" x14ac:dyDescent="0.15">
      <c r="E1" s="9" t="s">
        <v>75</v>
      </c>
      <c r="F1" s="9" t="s">
        <v>69</v>
      </c>
    </row>
    <row r="2" spans="5:6" ht="51" x14ac:dyDescent="0.15">
      <c r="E2" s="1" t="s">
        <v>21</v>
      </c>
      <c r="F2" s="2" t="s">
        <v>22</v>
      </c>
    </row>
    <row r="3" spans="5:6" ht="34" x14ac:dyDescent="0.15">
      <c r="E3" s="1" t="s">
        <v>23</v>
      </c>
      <c r="F3" s="2" t="s">
        <v>24</v>
      </c>
    </row>
    <row r="4" spans="5:6" ht="34" x14ac:dyDescent="0.15">
      <c r="E4" s="3" t="s">
        <v>25</v>
      </c>
      <c r="F4" s="4" t="s">
        <v>26</v>
      </c>
    </row>
    <row r="5" spans="5:6" ht="51" x14ac:dyDescent="0.15">
      <c r="E5" s="3" t="s">
        <v>27</v>
      </c>
      <c r="F5" s="4" t="s">
        <v>28</v>
      </c>
    </row>
    <row r="6" spans="5:6" ht="34" x14ac:dyDescent="0.15">
      <c r="E6" s="1" t="s">
        <v>29</v>
      </c>
      <c r="F6" s="2" t="s">
        <v>30</v>
      </c>
    </row>
    <row r="7" spans="5:6" ht="34" x14ac:dyDescent="0.15">
      <c r="E7" s="1" t="s">
        <v>31</v>
      </c>
      <c r="F7" s="2" t="s">
        <v>32</v>
      </c>
    </row>
    <row r="8" spans="5:6" ht="51" x14ac:dyDescent="0.15">
      <c r="E8" s="3" t="s">
        <v>33</v>
      </c>
      <c r="F8" s="4" t="s">
        <v>34</v>
      </c>
    </row>
    <row r="9" spans="5:6" ht="34" x14ac:dyDescent="0.15">
      <c r="E9" s="3" t="s">
        <v>35</v>
      </c>
      <c r="F9" s="4" t="s">
        <v>36</v>
      </c>
    </row>
    <row r="10" spans="5:6" ht="34" x14ac:dyDescent="0.15">
      <c r="E10" s="3" t="s">
        <v>37</v>
      </c>
      <c r="F10" s="4" t="s">
        <v>38</v>
      </c>
    </row>
    <row r="11" spans="5:6" ht="34" x14ac:dyDescent="0.15">
      <c r="E11" s="3" t="s">
        <v>39</v>
      </c>
      <c r="F11" s="4" t="s">
        <v>40</v>
      </c>
    </row>
    <row r="12" spans="5:6" ht="34" x14ac:dyDescent="0.15">
      <c r="E12" s="3" t="s">
        <v>41</v>
      </c>
      <c r="F12" s="4" t="s">
        <v>42</v>
      </c>
    </row>
    <row r="13" spans="5:6" ht="34" x14ac:dyDescent="0.15">
      <c r="E13" s="3" t="s">
        <v>43</v>
      </c>
      <c r="F13" s="4" t="s">
        <v>44</v>
      </c>
    </row>
    <row r="14" spans="5:6" ht="68" x14ac:dyDescent="0.15">
      <c r="E14" s="3" t="s">
        <v>45</v>
      </c>
      <c r="F14" s="4" t="s">
        <v>46</v>
      </c>
    </row>
    <row r="15" spans="5:6" ht="51" x14ac:dyDescent="0.15">
      <c r="E15" s="3" t="s">
        <v>47</v>
      </c>
      <c r="F15" s="4" t="s">
        <v>48</v>
      </c>
    </row>
    <row r="16" spans="5:6" ht="34" x14ac:dyDescent="0.15">
      <c r="E16" s="3" t="s">
        <v>49</v>
      </c>
      <c r="F16" s="4" t="s">
        <v>50</v>
      </c>
    </row>
    <row r="17" spans="5:6" ht="34" x14ac:dyDescent="0.15">
      <c r="E17" s="1" t="s">
        <v>51</v>
      </c>
      <c r="F17" s="2" t="s">
        <v>52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FFEDC-5E76-4D40-A21E-5D7360A961AF}">
  <dimension ref="A1:AO14"/>
  <sheetViews>
    <sheetView zoomScale="120" zoomScaleNormal="120" workbookViewId="0">
      <selection activeCell="AU16" sqref="AU16"/>
    </sheetView>
  </sheetViews>
  <sheetFormatPr baseColWidth="10" defaultRowHeight="13" x14ac:dyDescent="0.15"/>
  <cols>
    <col min="3" max="3" width="27.6640625" style="19" customWidth="1"/>
    <col min="4" max="4" width="33.5" style="19" customWidth="1"/>
    <col min="5" max="5" width="38.5" style="19" customWidth="1"/>
    <col min="6" max="6" width="5.1640625" bestFit="1" customWidth="1"/>
    <col min="7" max="7" width="6.6640625" bestFit="1" customWidth="1"/>
    <col min="8" max="8" width="11.6640625" customWidth="1"/>
    <col min="9" max="9" width="5.1640625" customWidth="1"/>
    <col min="10" max="17" width="3.33203125" bestFit="1" customWidth="1"/>
    <col min="18" max="24" width="4.33203125" bestFit="1" customWidth="1"/>
    <col min="26" max="27" width="4.1640625" bestFit="1" customWidth="1"/>
    <col min="28" max="34" width="3.33203125" bestFit="1" customWidth="1"/>
    <col min="35" max="41" width="4.33203125" bestFit="1" customWidth="1"/>
  </cols>
  <sheetData>
    <row r="1" spans="1:41" x14ac:dyDescent="0.15">
      <c r="I1" s="15" t="s">
        <v>67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7"/>
      <c r="Z1" s="18" t="s">
        <v>68</v>
      </c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</row>
    <row r="2" spans="1:41" ht="42" x14ac:dyDescent="0.15">
      <c r="A2" s="5" t="s">
        <v>0</v>
      </c>
      <c r="B2" s="5" t="s">
        <v>1</v>
      </c>
      <c r="C2" s="20" t="s">
        <v>2</v>
      </c>
      <c r="D2" s="20" t="s">
        <v>3</v>
      </c>
      <c r="E2" s="20" t="s">
        <v>4</v>
      </c>
      <c r="F2" s="5" t="s">
        <v>53</v>
      </c>
      <c r="G2" s="5" t="s">
        <v>54</v>
      </c>
      <c r="I2" s="5" t="s">
        <v>21</v>
      </c>
      <c r="J2" s="5" t="s">
        <v>23</v>
      </c>
      <c r="K2" s="5" t="s">
        <v>25</v>
      </c>
      <c r="L2" s="5" t="s">
        <v>27</v>
      </c>
      <c r="M2" s="5" t="s">
        <v>29</v>
      </c>
      <c r="N2" s="5" t="s">
        <v>31</v>
      </c>
      <c r="O2" s="5" t="s">
        <v>33</v>
      </c>
      <c r="P2" s="5" t="s">
        <v>35</v>
      </c>
      <c r="Q2" s="5" t="s">
        <v>37</v>
      </c>
      <c r="R2" s="5" t="s">
        <v>39</v>
      </c>
      <c r="S2" s="5" t="s">
        <v>41</v>
      </c>
      <c r="T2" s="5" t="s">
        <v>43</v>
      </c>
      <c r="U2" s="5" t="s">
        <v>45</v>
      </c>
      <c r="V2" s="5" t="s">
        <v>47</v>
      </c>
      <c r="W2" s="5" t="s">
        <v>49</v>
      </c>
      <c r="X2" s="5" t="s">
        <v>51</v>
      </c>
      <c r="Z2" s="5" t="s">
        <v>21</v>
      </c>
      <c r="AA2" s="5" t="s">
        <v>23</v>
      </c>
      <c r="AB2" s="5" t="s">
        <v>25</v>
      </c>
      <c r="AC2" s="5" t="s">
        <v>27</v>
      </c>
      <c r="AD2" s="5" t="s">
        <v>29</v>
      </c>
      <c r="AE2" s="5" t="s">
        <v>31</v>
      </c>
      <c r="AF2" s="5" t="s">
        <v>33</v>
      </c>
      <c r="AG2" s="5" t="s">
        <v>35</v>
      </c>
      <c r="AH2" s="5" t="s">
        <v>37</v>
      </c>
      <c r="AI2" s="5" t="s">
        <v>39</v>
      </c>
      <c r="AJ2" s="5" t="s">
        <v>41</v>
      </c>
      <c r="AK2" s="5" t="s">
        <v>43</v>
      </c>
      <c r="AL2" s="5" t="s">
        <v>45</v>
      </c>
      <c r="AM2" s="5" t="s">
        <v>47</v>
      </c>
      <c r="AN2" s="5" t="s">
        <v>49</v>
      </c>
      <c r="AO2" s="5" t="s">
        <v>51</v>
      </c>
    </row>
    <row r="3" spans="1:41" ht="14" x14ac:dyDescent="0.15">
      <c r="A3" s="5">
        <v>9</v>
      </c>
      <c r="B3" s="5">
        <v>1031104577</v>
      </c>
      <c r="C3" s="20" t="s">
        <v>5</v>
      </c>
      <c r="D3" s="20" t="s">
        <v>6</v>
      </c>
      <c r="E3" s="20" t="s">
        <v>6</v>
      </c>
      <c r="F3" s="5">
        <v>5</v>
      </c>
      <c r="G3" s="5">
        <f>F3/5</f>
        <v>1</v>
      </c>
      <c r="I3" s="5">
        <v>6</v>
      </c>
      <c r="J3" s="5">
        <v>5</v>
      </c>
      <c r="K3" s="5">
        <v>6</v>
      </c>
      <c r="L3" s="5">
        <v>5</v>
      </c>
      <c r="M3" s="5">
        <v>6</v>
      </c>
      <c r="N3" s="5">
        <v>5</v>
      </c>
      <c r="O3" s="5">
        <v>3</v>
      </c>
      <c r="P3" s="5">
        <v>3</v>
      </c>
      <c r="Q3" s="5">
        <v>6</v>
      </c>
      <c r="R3" s="5">
        <v>4</v>
      </c>
      <c r="S3" s="5">
        <v>4</v>
      </c>
      <c r="T3" s="5">
        <v>3</v>
      </c>
      <c r="U3" s="5">
        <v>4</v>
      </c>
      <c r="V3" s="5">
        <v>6</v>
      </c>
      <c r="W3" s="5">
        <v>5</v>
      </c>
      <c r="X3" s="5">
        <v>5</v>
      </c>
      <c r="Z3" s="5">
        <f>I3*G3</f>
        <v>6</v>
      </c>
      <c r="AA3" s="5">
        <f>J3*$G3</f>
        <v>5</v>
      </c>
      <c r="AB3" s="5">
        <f t="shared" ref="AB3:AO13" si="0">K3*$G3</f>
        <v>6</v>
      </c>
      <c r="AC3" s="5">
        <f t="shared" si="0"/>
        <v>5</v>
      </c>
      <c r="AD3" s="5">
        <f t="shared" si="0"/>
        <v>6</v>
      </c>
      <c r="AE3" s="5">
        <f t="shared" si="0"/>
        <v>5</v>
      </c>
      <c r="AF3" s="5">
        <f t="shared" si="0"/>
        <v>3</v>
      </c>
      <c r="AG3" s="5">
        <f t="shared" si="0"/>
        <v>3</v>
      </c>
      <c r="AH3" s="5">
        <f t="shared" si="0"/>
        <v>6</v>
      </c>
      <c r="AI3" s="5">
        <f t="shared" si="0"/>
        <v>4</v>
      </c>
      <c r="AJ3" s="5">
        <f t="shared" si="0"/>
        <v>4</v>
      </c>
      <c r="AK3" s="5">
        <f t="shared" si="0"/>
        <v>3</v>
      </c>
      <c r="AL3" s="5">
        <f t="shared" si="0"/>
        <v>4</v>
      </c>
      <c r="AM3" s="5">
        <f t="shared" si="0"/>
        <v>6</v>
      </c>
      <c r="AN3" s="5">
        <f t="shared" si="0"/>
        <v>5</v>
      </c>
      <c r="AO3" s="5">
        <f t="shared" si="0"/>
        <v>5</v>
      </c>
    </row>
    <row r="4" spans="1:41" ht="14" x14ac:dyDescent="0.15">
      <c r="A4" s="5">
        <v>10</v>
      </c>
      <c r="B4" s="5">
        <v>69849625</v>
      </c>
      <c r="C4" s="20" t="s">
        <v>7</v>
      </c>
      <c r="D4" s="20" t="s">
        <v>6</v>
      </c>
      <c r="E4" s="20" t="s">
        <v>8</v>
      </c>
      <c r="F4" s="5">
        <v>3</v>
      </c>
      <c r="G4" s="5">
        <f t="shared" ref="G4:G13" si="1">F4/5</f>
        <v>0.6</v>
      </c>
      <c r="I4" s="5">
        <v>5</v>
      </c>
      <c r="J4" s="5">
        <v>6</v>
      </c>
      <c r="K4" s="5">
        <v>3</v>
      </c>
      <c r="L4" s="5">
        <v>4</v>
      </c>
      <c r="M4" s="5">
        <v>5</v>
      </c>
      <c r="N4" s="5">
        <v>5</v>
      </c>
      <c r="O4" s="5">
        <v>5</v>
      </c>
      <c r="P4" s="5">
        <v>3</v>
      </c>
      <c r="Q4" s="5">
        <v>6</v>
      </c>
      <c r="R4" s="5">
        <v>6</v>
      </c>
      <c r="S4" s="5">
        <v>6</v>
      </c>
      <c r="T4" s="5">
        <v>2</v>
      </c>
      <c r="U4" s="5">
        <v>5</v>
      </c>
      <c r="V4" s="5">
        <v>6</v>
      </c>
      <c r="W4" s="5">
        <v>5</v>
      </c>
      <c r="X4" s="5">
        <v>6</v>
      </c>
      <c r="Z4" s="5">
        <f>I4*G4</f>
        <v>3</v>
      </c>
      <c r="AA4" s="5">
        <f>J4*G4</f>
        <v>3.5999999999999996</v>
      </c>
      <c r="AB4" s="5">
        <f t="shared" si="0"/>
        <v>1.7999999999999998</v>
      </c>
      <c r="AC4" s="5">
        <f t="shared" si="0"/>
        <v>2.4</v>
      </c>
      <c r="AD4" s="5">
        <f t="shared" si="0"/>
        <v>3</v>
      </c>
      <c r="AE4" s="5">
        <f t="shared" si="0"/>
        <v>3</v>
      </c>
      <c r="AF4" s="5">
        <f t="shared" si="0"/>
        <v>3</v>
      </c>
      <c r="AG4" s="5">
        <f t="shared" si="0"/>
        <v>1.7999999999999998</v>
      </c>
      <c r="AH4" s="5">
        <f t="shared" si="0"/>
        <v>3.5999999999999996</v>
      </c>
      <c r="AI4" s="5">
        <f t="shared" si="0"/>
        <v>3.5999999999999996</v>
      </c>
      <c r="AJ4" s="5">
        <f t="shared" si="0"/>
        <v>3.5999999999999996</v>
      </c>
      <c r="AK4" s="5">
        <f t="shared" si="0"/>
        <v>1.2</v>
      </c>
      <c r="AL4" s="5">
        <f t="shared" si="0"/>
        <v>3</v>
      </c>
      <c r="AM4" s="5">
        <f t="shared" si="0"/>
        <v>3.5999999999999996</v>
      </c>
      <c r="AN4" s="5">
        <f t="shared" si="0"/>
        <v>3</v>
      </c>
      <c r="AO4" s="5">
        <f t="shared" si="0"/>
        <v>3.5999999999999996</v>
      </c>
    </row>
    <row r="5" spans="1:41" ht="14" x14ac:dyDescent="0.15">
      <c r="A5" s="5">
        <v>15</v>
      </c>
      <c r="B5" s="5">
        <v>749896723</v>
      </c>
      <c r="C5" s="20" t="s">
        <v>7</v>
      </c>
      <c r="D5" s="20" t="s">
        <v>6</v>
      </c>
      <c r="E5" s="20" t="s">
        <v>9</v>
      </c>
      <c r="F5" s="5">
        <v>4</v>
      </c>
      <c r="G5" s="5">
        <f t="shared" si="1"/>
        <v>0.8</v>
      </c>
      <c r="I5" s="5">
        <v>3</v>
      </c>
      <c r="J5" s="5">
        <v>5</v>
      </c>
      <c r="K5" s="5">
        <v>3</v>
      </c>
      <c r="L5" s="5">
        <v>5</v>
      </c>
      <c r="M5" s="5">
        <v>5</v>
      </c>
      <c r="N5" s="5">
        <v>6</v>
      </c>
      <c r="O5" s="5">
        <v>3</v>
      </c>
      <c r="P5" s="5">
        <v>4</v>
      </c>
      <c r="Q5" s="5">
        <v>5</v>
      </c>
      <c r="R5" s="5">
        <v>5</v>
      </c>
      <c r="S5" s="5">
        <v>2</v>
      </c>
      <c r="T5" s="5">
        <v>3</v>
      </c>
      <c r="U5" s="5">
        <v>4</v>
      </c>
      <c r="V5" s="5">
        <v>5</v>
      </c>
      <c r="W5" s="5">
        <v>3</v>
      </c>
      <c r="X5" s="5">
        <v>3</v>
      </c>
      <c r="Z5" s="5">
        <f>I5*G5</f>
        <v>2.4000000000000004</v>
      </c>
      <c r="AA5" s="5">
        <f>J5*G5</f>
        <v>4</v>
      </c>
      <c r="AB5" s="5">
        <f t="shared" si="0"/>
        <v>2.4000000000000004</v>
      </c>
      <c r="AC5" s="5">
        <f t="shared" si="0"/>
        <v>4</v>
      </c>
      <c r="AD5" s="5">
        <f t="shared" si="0"/>
        <v>4</v>
      </c>
      <c r="AE5" s="5">
        <f t="shared" si="0"/>
        <v>4.8000000000000007</v>
      </c>
      <c r="AF5" s="5">
        <f t="shared" si="0"/>
        <v>2.4000000000000004</v>
      </c>
      <c r="AG5" s="5">
        <f t="shared" si="0"/>
        <v>3.2</v>
      </c>
      <c r="AH5" s="5">
        <f t="shared" si="0"/>
        <v>4</v>
      </c>
      <c r="AI5" s="5">
        <f t="shared" si="0"/>
        <v>4</v>
      </c>
      <c r="AJ5" s="5">
        <f t="shared" si="0"/>
        <v>1.6</v>
      </c>
      <c r="AK5" s="5">
        <f t="shared" si="0"/>
        <v>2.4000000000000004</v>
      </c>
      <c r="AL5" s="5">
        <f t="shared" si="0"/>
        <v>3.2</v>
      </c>
      <c r="AM5" s="5">
        <f t="shared" si="0"/>
        <v>4</v>
      </c>
      <c r="AN5" s="5">
        <f t="shared" si="0"/>
        <v>2.4000000000000004</v>
      </c>
      <c r="AO5" s="5">
        <f t="shared" si="0"/>
        <v>2.4000000000000004</v>
      </c>
    </row>
    <row r="6" spans="1:41" ht="14" x14ac:dyDescent="0.15">
      <c r="A6" s="5">
        <v>18</v>
      </c>
      <c r="B6" s="5">
        <v>140475329</v>
      </c>
      <c r="C6" s="20" t="s">
        <v>10</v>
      </c>
      <c r="D6" s="20" t="s">
        <v>11</v>
      </c>
      <c r="E6" s="20" t="s">
        <v>9</v>
      </c>
      <c r="F6" s="5">
        <v>3</v>
      </c>
      <c r="G6" s="5">
        <f t="shared" si="1"/>
        <v>0.6</v>
      </c>
      <c r="I6" s="5">
        <v>6</v>
      </c>
      <c r="J6" s="5">
        <v>5</v>
      </c>
      <c r="K6" s="5">
        <v>4</v>
      </c>
      <c r="L6" s="5">
        <v>5</v>
      </c>
      <c r="M6" s="5">
        <v>5</v>
      </c>
      <c r="N6" s="5">
        <v>6</v>
      </c>
      <c r="O6" s="5">
        <v>5</v>
      </c>
      <c r="P6" s="5">
        <v>6</v>
      </c>
      <c r="Q6" s="5">
        <v>5</v>
      </c>
      <c r="R6" s="5">
        <v>4</v>
      </c>
      <c r="S6" s="5">
        <v>5</v>
      </c>
      <c r="T6" s="5">
        <v>5</v>
      </c>
      <c r="U6" s="5">
        <v>5</v>
      </c>
      <c r="V6" s="5">
        <v>6</v>
      </c>
      <c r="W6" s="5">
        <v>5</v>
      </c>
      <c r="X6" s="5">
        <v>6</v>
      </c>
      <c r="Z6" s="5">
        <f>I6*G6</f>
        <v>3.5999999999999996</v>
      </c>
      <c r="AA6" s="5">
        <f>J6*G6</f>
        <v>3</v>
      </c>
      <c r="AB6" s="5">
        <f t="shared" si="0"/>
        <v>2.4</v>
      </c>
      <c r="AC6" s="5">
        <f t="shared" si="0"/>
        <v>3</v>
      </c>
      <c r="AD6" s="5">
        <f t="shared" si="0"/>
        <v>3</v>
      </c>
      <c r="AE6" s="5">
        <f t="shared" si="0"/>
        <v>3.5999999999999996</v>
      </c>
      <c r="AF6" s="5">
        <f t="shared" si="0"/>
        <v>3</v>
      </c>
      <c r="AG6" s="5">
        <f t="shared" si="0"/>
        <v>3.5999999999999996</v>
      </c>
      <c r="AH6" s="5">
        <f t="shared" si="0"/>
        <v>3</v>
      </c>
      <c r="AI6" s="5">
        <f t="shared" si="0"/>
        <v>2.4</v>
      </c>
      <c r="AJ6" s="5">
        <f t="shared" si="0"/>
        <v>3</v>
      </c>
      <c r="AK6" s="5">
        <f t="shared" si="0"/>
        <v>3</v>
      </c>
      <c r="AL6" s="5">
        <f t="shared" si="0"/>
        <v>3</v>
      </c>
      <c r="AM6" s="5">
        <f t="shared" si="0"/>
        <v>3.5999999999999996</v>
      </c>
      <c r="AN6" s="5">
        <f t="shared" si="0"/>
        <v>3</v>
      </c>
      <c r="AO6" s="5">
        <f t="shared" si="0"/>
        <v>3.5999999999999996</v>
      </c>
    </row>
    <row r="7" spans="1:41" ht="14" x14ac:dyDescent="0.15">
      <c r="A7" s="5">
        <v>19</v>
      </c>
      <c r="B7" s="5">
        <v>1307552481</v>
      </c>
      <c r="C7" s="20" t="s">
        <v>12</v>
      </c>
      <c r="D7" s="20" t="s">
        <v>6</v>
      </c>
      <c r="E7" s="20" t="s">
        <v>6</v>
      </c>
      <c r="F7" s="5">
        <v>4</v>
      </c>
      <c r="G7" s="5">
        <f t="shared" si="1"/>
        <v>0.8</v>
      </c>
      <c r="I7" s="5">
        <v>6</v>
      </c>
      <c r="J7" s="5">
        <v>5</v>
      </c>
      <c r="K7" s="5">
        <v>5</v>
      </c>
      <c r="L7" s="5">
        <v>3</v>
      </c>
      <c r="M7" s="5">
        <v>4</v>
      </c>
      <c r="N7" s="5">
        <v>5</v>
      </c>
      <c r="O7" s="5">
        <v>4</v>
      </c>
      <c r="P7" s="5">
        <v>6</v>
      </c>
      <c r="Q7" s="5">
        <v>5</v>
      </c>
      <c r="R7" s="5">
        <v>5</v>
      </c>
      <c r="S7" s="5">
        <v>4</v>
      </c>
      <c r="T7" s="5">
        <v>3</v>
      </c>
      <c r="U7" s="5">
        <v>5</v>
      </c>
      <c r="V7" s="5">
        <v>3</v>
      </c>
      <c r="W7" s="5">
        <v>4</v>
      </c>
      <c r="X7" s="5">
        <v>6</v>
      </c>
      <c r="Z7" s="5">
        <f>I7*G7</f>
        <v>4.8000000000000007</v>
      </c>
      <c r="AA7" s="5">
        <f>J7*G7</f>
        <v>4</v>
      </c>
      <c r="AB7" s="5">
        <f t="shared" si="0"/>
        <v>4</v>
      </c>
      <c r="AC7" s="5">
        <f t="shared" si="0"/>
        <v>2.4000000000000004</v>
      </c>
      <c r="AD7" s="5">
        <f t="shared" si="0"/>
        <v>3.2</v>
      </c>
      <c r="AE7" s="5">
        <f t="shared" si="0"/>
        <v>4</v>
      </c>
      <c r="AF7" s="5">
        <f t="shared" si="0"/>
        <v>3.2</v>
      </c>
      <c r="AG7" s="5">
        <f t="shared" si="0"/>
        <v>4.8000000000000007</v>
      </c>
      <c r="AH7" s="5">
        <f t="shared" si="0"/>
        <v>4</v>
      </c>
      <c r="AI7" s="5">
        <f t="shared" si="0"/>
        <v>4</v>
      </c>
      <c r="AJ7" s="5">
        <f t="shared" si="0"/>
        <v>3.2</v>
      </c>
      <c r="AK7" s="5">
        <f t="shared" si="0"/>
        <v>2.4000000000000004</v>
      </c>
      <c r="AL7" s="5">
        <f t="shared" si="0"/>
        <v>4</v>
      </c>
      <c r="AM7" s="5">
        <f t="shared" si="0"/>
        <v>2.4000000000000004</v>
      </c>
      <c r="AN7" s="5">
        <f t="shared" si="0"/>
        <v>3.2</v>
      </c>
      <c r="AO7" s="5">
        <f t="shared" si="0"/>
        <v>4.8000000000000007</v>
      </c>
    </row>
    <row r="8" spans="1:41" ht="14" x14ac:dyDescent="0.15">
      <c r="A8" s="5">
        <v>21</v>
      </c>
      <c r="B8" s="5">
        <v>1224694655</v>
      </c>
      <c r="C8" s="20" t="s">
        <v>13</v>
      </c>
      <c r="D8" s="20" t="s">
        <v>14</v>
      </c>
      <c r="E8" s="20" t="s">
        <v>9</v>
      </c>
      <c r="F8" s="5">
        <v>4</v>
      </c>
      <c r="G8" s="5">
        <f t="shared" si="1"/>
        <v>0.8</v>
      </c>
      <c r="I8" s="5">
        <v>4</v>
      </c>
      <c r="J8" s="5">
        <v>4</v>
      </c>
      <c r="K8" s="5">
        <v>6</v>
      </c>
      <c r="L8" s="5">
        <v>4</v>
      </c>
      <c r="M8" s="5">
        <v>5</v>
      </c>
      <c r="N8" s="5">
        <v>4</v>
      </c>
      <c r="O8" s="5">
        <v>4</v>
      </c>
      <c r="P8" s="5">
        <v>4</v>
      </c>
      <c r="Q8" s="5">
        <v>6</v>
      </c>
      <c r="R8" s="5">
        <v>4</v>
      </c>
      <c r="S8" s="5">
        <v>4</v>
      </c>
      <c r="T8" s="5">
        <v>3</v>
      </c>
      <c r="U8" s="5">
        <v>6</v>
      </c>
      <c r="V8" s="5">
        <v>5</v>
      </c>
      <c r="W8" s="5">
        <v>4</v>
      </c>
      <c r="X8" s="5">
        <v>6</v>
      </c>
      <c r="Z8" s="5">
        <f>I8*G8</f>
        <v>3.2</v>
      </c>
      <c r="AA8" s="5">
        <f>J8*G8</f>
        <v>3.2</v>
      </c>
      <c r="AB8" s="5">
        <f t="shared" si="0"/>
        <v>4.8000000000000007</v>
      </c>
      <c r="AC8" s="5">
        <f t="shared" si="0"/>
        <v>3.2</v>
      </c>
      <c r="AD8" s="5">
        <f t="shared" si="0"/>
        <v>4</v>
      </c>
      <c r="AE8" s="5">
        <f t="shared" si="0"/>
        <v>3.2</v>
      </c>
      <c r="AF8" s="5">
        <f t="shared" si="0"/>
        <v>3.2</v>
      </c>
      <c r="AG8" s="5">
        <f t="shared" si="0"/>
        <v>3.2</v>
      </c>
      <c r="AH8" s="5">
        <f t="shared" si="0"/>
        <v>4.8000000000000007</v>
      </c>
      <c r="AI8" s="5">
        <f t="shared" si="0"/>
        <v>3.2</v>
      </c>
      <c r="AJ8" s="5">
        <f t="shared" si="0"/>
        <v>3.2</v>
      </c>
      <c r="AK8" s="5">
        <f t="shared" si="0"/>
        <v>2.4000000000000004</v>
      </c>
      <c r="AL8" s="5">
        <f t="shared" si="0"/>
        <v>4.8000000000000007</v>
      </c>
      <c r="AM8" s="5">
        <f t="shared" si="0"/>
        <v>4</v>
      </c>
      <c r="AN8" s="5">
        <f t="shared" si="0"/>
        <v>3.2</v>
      </c>
      <c r="AO8" s="5">
        <f t="shared" si="0"/>
        <v>4.8000000000000007</v>
      </c>
    </row>
    <row r="9" spans="1:41" ht="14" x14ac:dyDescent="0.15">
      <c r="A9" s="5">
        <v>25</v>
      </c>
      <c r="B9" s="5">
        <v>187607804</v>
      </c>
      <c r="C9" s="20" t="s">
        <v>15</v>
      </c>
      <c r="D9" s="20" t="s">
        <v>6</v>
      </c>
      <c r="E9" s="20" t="s">
        <v>16</v>
      </c>
      <c r="F9" s="5">
        <v>4</v>
      </c>
      <c r="G9" s="5">
        <f t="shared" si="1"/>
        <v>0.8</v>
      </c>
      <c r="I9" s="5">
        <v>6</v>
      </c>
      <c r="J9" s="5">
        <v>6</v>
      </c>
      <c r="K9" s="5">
        <v>5</v>
      </c>
      <c r="L9" s="5">
        <v>5</v>
      </c>
      <c r="M9" s="5">
        <v>5</v>
      </c>
      <c r="N9" s="5">
        <v>5</v>
      </c>
      <c r="O9" s="5">
        <v>4</v>
      </c>
      <c r="P9" s="5">
        <v>6</v>
      </c>
      <c r="Q9" s="5">
        <v>5</v>
      </c>
      <c r="R9" s="5">
        <v>5</v>
      </c>
      <c r="S9" s="5">
        <v>5</v>
      </c>
      <c r="T9" s="5">
        <v>2</v>
      </c>
      <c r="U9" s="5">
        <v>4</v>
      </c>
      <c r="V9" s="5">
        <v>5</v>
      </c>
      <c r="W9" s="5">
        <v>5</v>
      </c>
      <c r="X9" s="5">
        <v>5</v>
      </c>
      <c r="Z9" s="5">
        <f>I9*G9</f>
        <v>4.8000000000000007</v>
      </c>
      <c r="AA9" s="5">
        <f>J9*G9</f>
        <v>4.8000000000000007</v>
      </c>
      <c r="AB9" s="5">
        <f t="shared" si="0"/>
        <v>4</v>
      </c>
      <c r="AC9" s="5">
        <f t="shared" si="0"/>
        <v>4</v>
      </c>
      <c r="AD9" s="5">
        <f t="shared" si="0"/>
        <v>4</v>
      </c>
      <c r="AE9" s="5">
        <f t="shared" si="0"/>
        <v>4</v>
      </c>
      <c r="AF9" s="5">
        <f t="shared" si="0"/>
        <v>3.2</v>
      </c>
      <c r="AG9" s="5">
        <f t="shared" si="0"/>
        <v>4.8000000000000007</v>
      </c>
      <c r="AH9" s="5">
        <f t="shared" si="0"/>
        <v>4</v>
      </c>
      <c r="AI9" s="5">
        <f t="shared" si="0"/>
        <v>4</v>
      </c>
      <c r="AJ9" s="5">
        <f t="shared" si="0"/>
        <v>4</v>
      </c>
      <c r="AK9" s="5">
        <f t="shared" si="0"/>
        <v>1.6</v>
      </c>
      <c r="AL9" s="5">
        <f t="shared" si="0"/>
        <v>3.2</v>
      </c>
      <c r="AM9" s="5">
        <f t="shared" si="0"/>
        <v>4</v>
      </c>
      <c r="AN9" s="5">
        <f t="shared" si="0"/>
        <v>4</v>
      </c>
      <c r="AO9" s="5">
        <f t="shared" si="0"/>
        <v>4</v>
      </c>
    </row>
    <row r="10" spans="1:41" ht="14" x14ac:dyDescent="0.15">
      <c r="A10" s="5">
        <v>27</v>
      </c>
      <c r="B10" s="5">
        <v>429684482</v>
      </c>
      <c r="C10" s="20" t="s">
        <v>17</v>
      </c>
      <c r="D10" s="20" t="s">
        <v>6</v>
      </c>
      <c r="E10" s="20" t="s">
        <v>9</v>
      </c>
      <c r="F10" s="5">
        <v>4</v>
      </c>
      <c r="G10" s="5">
        <f t="shared" si="1"/>
        <v>0.8</v>
      </c>
      <c r="I10" s="5">
        <v>6</v>
      </c>
      <c r="J10" s="5">
        <v>6</v>
      </c>
      <c r="K10" s="5">
        <v>4</v>
      </c>
      <c r="L10" s="5">
        <v>4</v>
      </c>
      <c r="M10" s="5">
        <v>4</v>
      </c>
      <c r="N10" s="5">
        <v>4</v>
      </c>
      <c r="O10" s="5">
        <v>3</v>
      </c>
      <c r="P10" s="5">
        <v>2</v>
      </c>
      <c r="Q10" s="5">
        <v>3</v>
      </c>
      <c r="R10" s="5">
        <v>3</v>
      </c>
      <c r="S10" s="5">
        <v>2</v>
      </c>
      <c r="T10" s="5">
        <v>3</v>
      </c>
      <c r="U10" s="5">
        <v>3</v>
      </c>
      <c r="V10" s="5">
        <v>3</v>
      </c>
      <c r="W10" s="5">
        <v>4</v>
      </c>
      <c r="X10" s="5">
        <v>6</v>
      </c>
      <c r="Z10" s="5">
        <f>I10*G10</f>
        <v>4.8000000000000007</v>
      </c>
      <c r="AA10" s="5">
        <f>J10*G10</f>
        <v>4.8000000000000007</v>
      </c>
      <c r="AB10" s="5">
        <f t="shared" si="0"/>
        <v>3.2</v>
      </c>
      <c r="AC10" s="5">
        <f t="shared" si="0"/>
        <v>3.2</v>
      </c>
      <c r="AD10" s="5">
        <f t="shared" si="0"/>
        <v>3.2</v>
      </c>
      <c r="AE10" s="5">
        <f t="shared" si="0"/>
        <v>3.2</v>
      </c>
      <c r="AF10" s="5">
        <f t="shared" si="0"/>
        <v>2.4000000000000004</v>
      </c>
      <c r="AG10" s="5">
        <f t="shared" si="0"/>
        <v>1.6</v>
      </c>
      <c r="AH10" s="5">
        <f t="shared" si="0"/>
        <v>2.4000000000000004</v>
      </c>
      <c r="AI10" s="5">
        <f t="shared" si="0"/>
        <v>2.4000000000000004</v>
      </c>
      <c r="AJ10" s="5">
        <f t="shared" si="0"/>
        <v>1.6</v>
      </c>
      <c r="AK10" s="5">
        <f t="shared" si="0"/>
        <v>2.4000000000000004</v>
      </c>
      <c r="AL10" s="5">
        <f t="shared" si="0"/>
        <v>2.4000000000000004</v>
      </c>
      <c r="AM10" s="5">
        <f t="shared" si="0"/>
        <v>2.4000000000000004</v>
      </c>
      <c r="AN10" s="5">
        <f t="shared" si="0"/>
        <v>3.2</v>
      </c>
      <c r="AO10" s="5">
        <f t="shared" si="0"/>
        <v>4.8000000000000007</v>
      </c>
    </row>
    <row r="11" spans="1:41" ht="14" x14ac:dyDescent="0.15">
      <c r="A11" s="5">
        <v>31</v>
      </c>
      <c r="B11" s="5">
        <v>1525581746</v>
      </c>
      <c r="C11" s="20" t="s">
        <v>18</v>
      </c>
      <c r="D11" s="20" t="s">
        <v>9</v>
      </c>
      <c r="E11" s="20" t="s">
        <v>9</v>
      </c>
      <c r="F11" s="5">
        <v>3</v>
      </c>
      <c r="G11" s="5">
        <f t="shared" si="1"/>
        <v>0.6</v>
      </c>
      <c r="I11" s="5">
        <v>6</v>
      </c>
      <c r="J11" s="5">
        <v>5</v>
      </c>
      <c r="K11" s="5">
        <v>5</v>
      </c>
      <c r="L11" s="5">
        <v>3</v>
      </c>
      <c r="M11" s="5">
        <v>4</v>
      </c>
      <c r="N11" s="5">
        <v>6</v>
      </c>
      <c r="O11" s="5">
        <v>1</v>
      </c>
      <c r="P11" s="5">
        <v>2</v>
      </c>
      <c r="Q11" s="5">
        <v>2</v>
      </c>
      <c r="R11" s="5">
        <v>3</v>
      </c>
      <c r="S11" s="5">
        <v>4</v>
      </c>
      <c r="T11" s="5">
        <v>2</v>
      </c>
      <c r="U11" s="5">
        <v>3</v>
      </c>
      <c r="V11" s="5">
        <v>5</v>
      </c>
      <c r="W11" s="5">
        <v>6</v>
      </c>
      <c r="X11" s="5">
        <v>5</v>
      </c>
      <c r="Z11" s="5">
        <f>I11*G11</f>
        <v>3.5999999999999996</v>
      </c>
      <c r="AA11" s="5">
        <f>J11*G11</f>
        <v>3</v>
      </c>
      <c r="AB11" s="5">
        <f t="shared" si="0"/>
        <v>3</v>
      </c>
      <c r="AC11" s="5">
        <f t="shared" si="0"/>
        <v>1.7999999999999998</v>
      </c>
      <c r="AD11" s="5">
        <f t="shared" si="0"/>
        <v>2.4</v>
      </c>
      <c r="AE11" s="5">
        <f t="shared" si="0"/>
        <v>3.5999999999999996</v>
      </c>
      <c r="AF11" s="5">
        <f t="shared" si="0"/>
        <v>0.6</v>
      </c>
      <c r="AG11" s="5">
        <f t="shared" si="0"/>
        <v>1.2</v>
      </c>
      <c r="AH11" s="5">
        <f t="shared" si="0"/>
        <v>1.2</v>
      </c>
      <c r="AI11" s="5">
        <f t="shared" si="0"/>
        <v>1.7999999999999998</v>
      </c>
      <c r="AJ11" s="5">
        <f t="shared" si="0"/>
        <v>2.4</v>
      </c>
      <c r="AK11" s="5">
        <f t="shared" si="0"/>
        <v>1.2</v>
      </c>
      <c r="AL11" s="5">
        <f t="shared" si="0"/>
        <v>1.7999999999999998</v>
      </c>
      <c r="AM11" s="5">
        <f t="shared" si="0"/>
        <v>3</v>
      </c>
      <c r="AN11" s="5">
        <f t="shared" si="0"/>
        <v>3.5999999999999996</v>
      </c>
      <c r="AO11" s="5">
        <f t="shared" si="0"/>
        <v>3</v>
      </c>
    </row>
    <row r="12" spans="1:41" ht="14" x14ac:dyDescent="0.15">
      <c r="A12" s="5">
        <v>34</v>
      </c>
      <c r="B12" s="5">
        <v>1000556525</v>
      </c>
      <c r="C12" s="20" t="s">
        <v>19</v>
      </c>
      <c r="D12" s="20" t="s">
        <v>16</v>
      </c>
      <c r="E12" s="20" t="s">
        <v>9</v>
      </c>
      <c r="F12" s="5">
        <v>3</v>
      </c>
      <c r="G12" s="5">
        <f t="shared" si="1"/>
        <v>0.6</v>
      </c>
      <c r="I12" s="5">
        <v>5</v>
      </c>
      <c r="J12" s="5">
        <v>5</v>
      </c>
      <c r="K12" s="5">
        <v>5</v>
      </c>
      <c r="L12" s="5">
        <v>4</v>
      </c>
      <c r="M12" s="5">
        <v>5</v>
      </c>
      <c r="N12" s="5">
        <v>5</v>
      </c>
      <c r="O12" s="5">
        <v>5</v>
      </c>
      <c r="P12" s="5">
        <v>3</v>
      </c>
      <c r="Q12" s="5">
        <v>5</v>
      </c>
      <c r="R12" s="5">
        <v>5</v>
      </c>
      <c r="S12" s="5">
        <v>6</v>
      </c>
      <c r="T12" s="5">
        <v>6</v>
      </c>
      <c r="U12" s="5">
        <v>5</v>
      </c>
      <c r="V12" s="5">
        <v>5</v>
      </c>
      <c r="W12" s="5">
        <v>6</v>
      </c>
      <c r="X12" s="5">
        <v>5</v>
      </c>
      <c r="Z12" s="5">
        <f>I12*G12</f>
        <v>3</v>
      </c>
      <c r="AA12" s="5">
        <f>J12*G12</f>
        <v>3</v>
      </c>
      <c r="AB12" s="5">
        <f t="shared" si="0"/>
        <v>3</v>
      </c>
      <c r="AC12" s="5">
        <f t="shared" si="0"/>
        <v>2.4</v>
      </c>
      <c r="AD12" s="5">
        <f t="shared" si="0"/>
        <v>3</v>
      </c>
      <c r="AE12" s="5">
        <f t="shared" si="0"/>
        <v>3</v>
      </c>
      <c r="AF12" s="5">
        <f t="shared" si="0"/>
        <v>3</v>
      </c>
      <c r="AG12" s="5">
        <f t="shared" si="0"/>
        <v>1.7999999999999998</v>
      </c>
      <c r="AH12" s="5">
        <f t="shared" si="0"/>
        <v>3</v>
      </c>
      <c r="AI12" s="5">
        <f t="shared" si="0"/>
        <v>3</v>
      </c>
      <c r="AJ12" s="5">
        <f t="shared" si="0"/>
        <v>3.5999999999999996</v>
      </c>
      <c r="AK12" s="5">
        <f t="shared" si="0"/>
        <v>3.5999999999999996</v>
      </c>
      <c r="AL12" s="5">
        <f t="shared" si="0"/>
        <v>3</v>
      </c>
      <c r="AM12" s="5">
        <f t="shared" si="0"/>
        <v>3</v>
      </c>
      <c r="AN12" s="5">
        <f t="shared" si="0"/>
        <v>3.5999999999999996</v>
      </c>
      <c r="AO12" s="5">
        <f t="shared" si="0"/>
        <v>3</v>
      </c>
    </row>
    <row r="13" spans="1:41" ht="14" x14ac:dyDescent="0.15">
      <c r="A13" s="5">
        <v>42</v>
      </c>
      <c r="B13" s="5">
        <v>883617366</v>
      </c>
      <c r="C13" s="20" t="s">
        <v>20</v>
      </c>
      <c r="D13" s="20" t="s">
        <v>9</v>
      </c>
      <c r="E13" s="20" t="s">
        <v>8</v>
      </c>
      <c r="F13" s="5">
        <v>4</v>
      </c>
      <c r="G13" s="5">
        <f t="shared" si="1"/>
        <v>0.8</v>
      </c>
      <c r="I13" s="5">
        <v>5</v>
      </c>
      <c r="J13" s="5">
        <v>5</v>
      </c>
      <c r="K13" s="5">
        <v>4</v>
      </c>
      <c r="L13" s="5">
        <v>5</v>
      </c>
      <c r="M13" s="5">
        <v>6</v>
      </c>
      <c r="N13" s="5">
        <v>4</v>
      </c>
      <c r="O13" s="5">
        <v>5</v>
      </c>
      <c r="P13" s="5">
        <v>3</v>
      </c>
      <c r="Q13" s="5">
        <v>3</v>
      </c>
      <c r="R13" s="5">
        <v>4</v>
      </c>
      <c r="S13" s="5">
        <v>3</v>
      </c>
      <c r="T13" s="5">
        <v>3</v>
      </c>
      <c r="U13" s="5">
        <v>5</v>
      </c>
      <c r="V13" s="5">
        <v>3</v>
      </c>
      <c r="W13" s="5">
        <v>2</v>
      </c>
      <c r="X13" s="5">
        <v>6</v>
      </c>
      <c r="Z13" s="5">
        <f>I13*G13</f>
        <v>4</v>
      </c>
      <c r="AA13" s="5">
        <f>J13*G13</f>
        <v>4</v>
      </c>
      <c r="AB13" s="5">
        <f t="shared" si="0"/>
        <v>3.2</v>
      </c>
      <c r="AC13" s="5">
        <f t="shared" si="0"/>
        <v>4</v>
      </c>
      <c r="AD13" s="5">
        <f t="shared" si="0"/>
        <v>4.8000000000000007</v>
      </c>
      <c r="AE13" s="5">
        <f t="shared" si="0"/>
        <v>3.2</v>
      </c>
      <c r="AF13" s="5">
        <f t="shared" si="0"/>
        <v>4</v>
      </c>
      <c r="AG13" s="5">
        <f t="shared" si="0"/>
        <v>2.4000000000000004</v>
      </c>
      <c r="AH13" s="5">
        <f t="shared" si="0"/>
        <v>2.4000000000000004</v>
      </c>
      <c r="AI13" s="5">
        <f t="shared" si="0"/>
        <v>3.2</v>
      </c>
      <c r="AJ13" s="5">
        <f t="shared" si="0"/>
        <v>2.4000000000000004</v>
      </c>
      <c r="AK13" s="5">
        <f t="shared" si="0"/>
        <v>2.4000000000000004</v>
      </c>
      <c r="AL13" s="5">
        <f t="shared" si="0"/>
        <v>4</v>
      </c>
      <c r="AM13" s="5">
        <f t="shared" si="0"/>
        <v>2.4000000000000004</v>
      </c>
      <c r="AN13" s="5">
        <f t="shared" si="0"/>
        <v>1.6</v>
      </c>
      <c r="AO13" s="5">
        <f t="shared" si="0"/>
        <v>4.8000000000000007</v>
      </c>
    </row>
    <row r="14" spans="1:41" x14ac:dyDescent="0.15">
      <c r="I14" s="14">
        <f t="shared" ref="I14:X14" si="2">AVERAGE(I3:I13)</f>
        <v>5.2727272727272725</v>
      </c>
      <c r="J14" s="14">
        <f t="shared" si="2"/>
        <v>5.1818181818181817</v>
      </c>
      <c r="K14" s="14">
        <f t="shared" si="2"/>
        <v>4.5454545454545459</v>
      </c>
      <c r="L14" s="5">
        <f t="shared" si="2"/>
        <v>4.2727272727272725</v>
      </c>
      <c r="M14" s="14">
        <f t="shared" si="2"/>
        <v>4.9090909090909092</v>
      </c>
      <c r="N14" s="14">
        <f t="shared" si="2"/>
        <v>5</v>
      </c>
      <c r="O14" s="5">
        <f t="shared" si="2"/>
        <v>3.8181818181818183</v>
      </c>
      <c r="P14" s="5">
        <f t="shared" si="2"/>
        <v>3.8181818181818183</v>
      </c>
      <c r="Q14" s="5">
        <f t="shared" si="2"/>
        <v>4.6363636363636367</v>
      </c>
      <c r="R14" s="5">
        <f t="shared" si="2"/>
        <v>4.3636363636363633</v>
      </c>
      <c r="S14" s="5">
        <f t="shared" si="2"/>
        <v>4.0909090909090908</v>
      </c>
      <c r="T14" s="5">
        <f t="shared" si="2"/>
        <v>3.1818181818181817</v>
      </c>
      <c r="U14" s="5">
        <f t="shared" si="2"/>
        <v>4.4545454545454541</v>
      </c>
      <c r="V14" s="5">
        <f t="shared" si="2"/>
        <v>4.7272727272727275</v>
      </c>
      <c r="W14" s="5">
        <f t="shared" si="2"/>
        <v>4.4545454545454541</v>
      </c>
      <c r="X14" s="14">
        <f t="shared" si="2"/>
        <v>5.3636363636363633</v>
      </c>
      <c r="Z14" s="6">
        <f>AVERAGE(Z3:Z13)</f>
        <v>3.9272727272727277</v>
      </c>
      <c r="AA14" s="6">
        <f t="shared" ref="AA14:AO14" si="3">AVERAGE(AA3:AA13)</f>
        <v>3.8545454545454549</v>
      </c>
      <c r="AB14" s="5">
        <f t="shared" si="3"/>
        <v>3.436363636363637</v>
      </c>
      <c r="AC14" s="5">
        <f t="shared" si="3"/>
        <v>3.2181818181818183</v>
      </c>
      <c r="AD14" s="6">
        <f t="shared" si="3"/>
        <v>3.6909090909090905</v>
      </c>
      <c r="AE14" s="6">
        <f t="shared" si="3"/>
        <v>3.6909090909090909</v>
      </c>
      <c r="AF14" s="5">
        <f t="shared" si="3"/>
        <v>2.8181818181818183</v>
      </c>
      <c r="AG14" s="5">
        <f t="shared" si="3"/>
        <v>2.8545454545454545</v>
      </c>
      <c r="AH14" s="5">
        <f t="shared" si="3"/>
        <v>3.4909090909090916</v>
      </c>
      <c r="AI14" s="5">
        <f t="shared" si="3"/>
        <v>3.2363636363636372</v>
      </c>
      <c r="AJ14" s="5">
        <f t="shared" si="3"/>
        <v>2.963636363636363</v>
      </c>
      <c r="AK14" s="5">
        <f t="shared" si="3"/>
        <v>2.3272727272727276</v>
      </c>
      <c r="AL14" s="5">
        <f t="shared" si="3"/>
        <v>3.3090909090909095</v>
      </c>
      <c r="AM14" s="5">
        <f t="shared" si="3"/>
        <v>3.4909090909090907</v>
      </c>
      <c r="AN14" s="5">
        <f t="shared" si="3"/>
        <v>3.2545454545454549</v>
      </c>
      <c r="AO14" s="6">
        <f t="shared" si="3"/>
        <v>3.9818181818181815</v>
      </c>
    </row>
  </sheetData>
  <mergeCells count="2">
    <mergeCell ref="I1:X1"/>
    <mergeCell ref="Z1:AO1"/>
  </mergeCells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485C7-4348-E44F-94FE-669395B80ED9}">
  <dimension ref="A1:C11"/>
  <sheetViews>
    <sheetView zoomScale="150" zoomScaleNormal="150" workbookViewId="0">
      <selection activeCell="A7" sqref="A7"/>
    </sheetView>
  </sheetViews>
  <sheetFormatPr baseColWidth="10" defaultRowHeight="13" x14ac:dyDescent="0.15"/>
  <cols>
    <col min="1" max="1" width="11.6640625" customWidth="1"/>
    <col min="2" max="2" width="58.5" style="7" customWidth="1"/>
    <col min="3" max="3" width="47.1640625" style="7" customWidth="1"/>
  </cols>
  <sheetData>
    <row r="1" spans="1:3" ht="14" x14ac:dyDescent="0.15">
      <c r="A1" s="9" t="s">
        <v>69</v>
      </c>
      <c r="B1" s="10" t="s">
        <v>55</v>
      </c>
      <c r="C1" s="10" t="s">
        <v>56</v>
      </c>
    </row>
    <row r="2" spans="1:3" ht="42" x14ac:dyDescent="0.15">
      <c r="A2" s="11" t="s">
        <v>70</v>
      </c>
      <c r="B2" s="12" t="s">
        <v>58</v>
      </c>
      <c r="C2" s="13" t="s">
        <v>57</v>
      </c>
    </row>
    <row r="3" spans="1:3" ht="42" x14ac:dyDescent="0.15">
      <c r="A3" s="11" t="s">
        <v>71</v>
      </c>
      <c r="B3" s="12" t="s">
        <v>59</v>
      </c>
      <c r="C3" s="13" t="s">
        <v>60</v>
      </c>
    </row>
    <row r="4" spans="1:3" ht="28" x14ac:dyDescent="0.15">
      <c r="A4" s="11" t="s">
        <v>72</v>
      </c>
      <c r="B4" s="12" t="s">
        <v>61</v>
      </c>
      <c r="C4" s="13" t="s">
        <v>66</v>
      </c>
    </row>
    <row r="5" spans="1:3" ht="42" x14ac:dyDescent="0.15">
      <c r="A5" s="11" t="s">
        <v>73</v>
      </c>
      <c r="B5" s="12" t="s">
        <v>63</v>
      </c>
      <c r="C5" s="13" t="s">
        <v>62</v>
      </c>
    </row>
    <row r="6" spans="1:3" ht="29" customHeight="1" x14ac:dyDescent="0.15">
      <c r="A6" s="11" t="s">
        <v>74</v>
      </c>
      <c r="B6" s="12" t="s">
        <v>64</v>
      </c>
      <c r="C6" s="13" t="s">
        <v>65</v>
      </c>
    </row>
    <row r="7" spans="1:3" x14ac:dyDescent="0.15">
      <c r="A7" s="8"/>
    </row>
    <row r="8" spans="1:3" x14ac:dyDescent="0.15">
      <c r="A8" s="8"/>
    </row>
    <row r="9" spans="1:3" x14ac:dyDescent="0.15">
      <c r="A9" s="8"/>
    </row>
    <row r="10" spans="1:3" x14ac:dyDescent="0.15">
      <c r="A10" s="8"/>
    </row>
    <row r="11" spans="1:3" x14ac:dyDescent="0.15">
      <c r="A1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GUIDELINES</vt:lpstr>
      <vt:lpstr>RESPONSES</vt:lpstr>
      <vt:lpstr>VIGNETES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Nicolas Diaz Ferreyra</cp:lastModifiedBy>
  <cp:revision>0</cp:revision>
  <dcterms:created xsi:type="dcterms:W3CDTF">2025-03-31T08:55:47Z</dcterms:created>
  <dcterms:modified xsi:type="dcterms:W3CDTF">2026-10-27T13:34:50Z</dcterms:modified>
</cp:coreProperties>
</file>